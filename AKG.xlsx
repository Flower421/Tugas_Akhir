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uliah\TA\Tugas Akhir\Source code\Git\"/>
    </mc:Choice>
  </mc:AlternateContent>
  <xr:revisionPtr revIDLastSave="0" documentId="13_ncr:1_{8D5161F8-6EC1-484F-87FC-852BF1D4281F}" xr6:coauthVersionLast="47" xr6:coauthVersionMax="47" xr10:uidLastSave="{00000000-0000-0000-0000-000000000000}"/>
  <bookViews>
    <workbookView xWindow="-110" yWindow="-110" windowWidth="19420" windowHeight="10300" xr2:uid="{8BCE6A92-745E-4822-BE42-A87295845EB6}"/>
  </bookViews>
  <sheets>
    <sheet name="Pendahuluan" sheetId="2" r:id="rId1"/>
    <sheet name="Data AK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<sst xmlns="http://schemas.openxmlformats.org/spreadsheetml/2006/main" count="47" uniqueCount="47">
  <si>
    <t>umur</t>
  </si>
  <si>
    <t>Protein (g)</t>
  </si>
  <si>
    <t>Karbohidrat (g)</t>
  </si>
  <si>
    <t>Serat (g)</t>
  </si>
  <si>
    <t>Lemak (g)</t>
  </si>
  <si>
    <t>Kalori (kkal)</t>
  </si>
  <si>
    <t>Tahun</t>
  </si>
  <si>
    <t>Kalsium (mg)</t>
  </si>
  <si>
    <t>Fosfor (mg)</t>
  </si>
  <si>
    <t>Besi (mg)</t>
  </si>
  <si>
    <t>Natrium (mg)</t>
  </si>
  <si>
    <t>Kalium (mg)</t>
  </si>
  <si>
    <t>Tembaga (mg)</t>
  </si>
  <si>
    <t>Seng (mg)</t>
  </si>
  <si>
    <t>Vitamin A (mcg)</t>
  </si>
  <si>
    <t>Vitamin B1 (mg)</t>
  </si>
  <si>
    <t>Vitamin B2 (mg)</t>
  </si>
  <si>
    <t>Vitamin B3 (mg)</t>
  </si>
  <si>
    <t>Vitamin C (mg)</t>
  </si>
  <si>
    <t>File excel ini menyimpan data standar AKG yang digunakan dalam optimasi</t>
  </si>
  <si>
    <t>Data terdiri atas</t>
  </si>
  <si>
    <t>1. Baris : 10</t>
  </si>
  <si>
    <t>2. Kolom : 19</t>
  </si>
  <si>
    <t>Dengan rincian kolom</t>
  </si>
  <si>
    <t>1. Tahun Standar AKG</t>
  </si>
  <si>
    <t>2. Usia balita</t>
  </si>
  <si>
    <t>3. AKG Kalori</t>
  </si>
  <si>
    <t>4. AKG Protein</t>
  </si>
  <si>
    <t>5. AKG Lemak</t>
  </si>
  <si>
    <t>6. AKG Karbohidrat</t>
  </si>
  <si>
    <t>7. AKG Serat</t>
  </si>
  <si>
    <t>8. AKG Kalsium</t>
  </si>
  <si>
    <t>9. AKG Fosfor</t>
  </si>
  <si>
    <t>10. AKG Besi</t>
  </si>
  <si>
    <t>11. AKG Natrium</t>
  </si>
  <si>
    <t>12. AKG Kalium</t>
  </si>
  <si>
    <t>13. AKG Tembaga</t>
  </si>
  <si>
    <t>14. AKG Seng</t>
  </si>
  <si>
    <t>15. AKG Vitamin A</t>
  </si>
  <si>
    <t>16. AKG Vitamin B1</t>
  </si>
  <si>
    <t>17. AKG Vitamin B2</t>
  </si>
  <si>
    <t>18. AKG Vitamin B3</t>
  </si>
  <si>
    <t>19. AKG Vitamin C</t>
  </si>
  <si>
    <t>De</t>
  </si>
  <si>
    <t>Data AKG diambil dari</t>
  </si>
  <si>
    <t xml:space="preserve">1. Buku Pedoman Gizi Seimbang </t>
  </si>
  <si>
    <t xml:space="preserve">2. Peraturan Menteri Kesehatan Republik Indonesia Nomor 28 Tahun 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</si>
</sst>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A6B7-9EF3-4666-96A6-60609B6835AE}">
  <dimension ref="B2:L30"/>
  <sheetViews>
    <sheetView tabSelected="1" workbookViewId="0">
      <selection activeCell="C33" sqref="C33"/>
    </sheetView>
  </sheetViews>
  <sheetFormatPr defaultRowHeight="14.5" x14ac:dyDescent="0.35"/>
  <sheetData>
    <row r="2" spans="2:12" x14ac:dyDescent="0.35">
      <c r="B2" t="s">
        <v>19</v>
      </c>
    </row>
    <row r="3" spans="2:12" x14ac:dyDescent="0.35">
      <c r="B3" t="s">
        <v>20</v>
      </c>
    </row>
    <row r="4" spans="2:12" x14ac:dyDescent="0.35">
      <c r="B4" t="s">
        <v>21</v>
      </c>
    </row>
    <row r="5" spans="2:12" x14ac:dyDescent="0.35">
      <c r="B5" t="s">
        <v>22</v>
      </c>
    </row>
    <row r="7" spans="2:12" ht="15.5" x14ac:dyDescent="0.35">
      <c r="B7" t="s">
        <v>23</v>
      </c>
      <c r="E7" s="8" t="s">
        <v>43</v>
      </c>
      <c r="F7" s="9"/>
      <c r="G7" s="9"/>
      <c r="H7" s="9"/>
      <c r="I7" s="9"/>
      <c r="J7" s="9"/>
      <c r="K7" s="9"/>
      <c r="L7" s="9"/>
    </row>
    <row r="8" spans="2:12" x14ac:dyDescent="0.35">
      <c r="B8" t="s">
        <v>24</v>
      </c>
    </row>
    <row r="9" spans="2:12" x14ac:dyDescent="0.35">
      <c r="B9" t="s">
        <v>25</v>
      </c>
    </row>
    <row r="10" spans="2:12" x14ac:dyDescent="0.35">
      <c r="B10" t="s">
        <v>26</v>
      </c>
    </row>
    <row r="11" spans="2:12" x14ac:dyDescent="0.35">
      <c r="B11" t="s">
        <v>27</v>
      </c>
    </row>
    <row r="12" spans="2:12" x14ac:dyDescent="0.35">
      <c r="B12" t="s">
        <v>28</v>
      </c>
    </row>
    <row r="13" spans="2:12" x14ac:dyDescent="0.35">
      <c r="B13" t="s">
        <v>29</v>
      </c>
    </row>
    <row r="14" spans="2:12" x14ac:dyDescent="0.35">
      <c r="B14" t="s">
        <v>30</v>
      </c>
    </row>
    <row r="15" spans="2:12" x14ac:dyDescent="0.35">
      <c r="B15" t="s">
        <v>31</v>
      </c>
    </row>
    <row r="16" spans="2:12" x14ac:dyDescent="0.35">
      <c r="B16" t="s">
        <v>32</v>
      </c>
    </row>
    <row r="17" spans="2:2" x14ac:dyDescent="0.35">
      <c r="B17" t="s">
        <v>33</v>
      </c>
    </row>
    <row r="18" spans="2:2" x14ac:dyDescent="0.35">
      <c r="B18" t="s">
        <v>34</v>
      </c>
    </row>
    <row r="19" spans="2:2" x14ac:dyDescent="0.35">
      <c r="B19" t="s">
        <v>35</v>
      </c>
    </row>
    <row r="20" spans="2:2" x14ac:dyDescent="0.35">
      <c r="B20" t="s">
        <v>36</v>
      </c>
    </row>
    <row r="21" spans="2:2" x14ac:dyDescent="0.35">
      <c r="B21" t="s">
        <v>37</v>
      </c>
    </row>
    <row r="22" spans="2:2" x14ac:dyDescent="0.35">
      <c r="B22" t="s">
        <v>38</v>
      </c>
    </row>
    <row r="23" spans="2:2" x14ac:dyDescent="0.35">
      <c r="B23" t="s">
        <v>39</v>
      </c>
    </row>
    <row r="24" spans="2:2" x14ac:dyDescent="0.35">
      <c r="B24" t="s">
        <v>40</v>
      </c>
    </row>
    <row r="25" spans="2:2" x14ac:dyDescent="0.35">
      <c r="B25" t="s">
        <v>41</v>
      </c>
    </row>
    <row r="26" spans="2:2" x14ac:dyDescent="0.35">
      <c r="B26" t="s">
        <v>42</v>
      </c>
    </row>
    <row r="28" spans="2:2" x14ac:dyDescent="0.35">
      <c r="B28" t="s">
        <v>44</v>
      </c>
    </row>
    <row r="29" spans="2:2" x14ac:dyDescent="0.35">
      <c r="B29" s="10" t="s">
        <v>45</v>
      </c>
    </row>
    <row r="30" spans="2:2" x14ac:dyDescent="0.35">
      <c r="B30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6A90-2B17-4CDC-837A-ECF3F0884CDB}">
  <dimension ref="A1:T11"/>
  <sheetViews>
    <sheetView zoomScale="82" zoomScaleNormal="55" workbookViewId="0">
      <selection activeCell="H1" sqref="H1:N1"/>
    </sheetView>
  </sheetViews>
  <sheetFormatPr defaultRowHeight="15.5" x14ac:dyDescent="0.35"/>
  <cols>
    <col min="1" max="2" width="8.7265625" style="1"/>
    <col min="3" max="3" width="12.54296875" style="1" bestFit="1" customWidth="1"/>
    <col min="4" max="5" width="12.6328125" style="1" bestFit="1" customWidth="1"/>
    <col min="6" max="6" width="14.81640625" style="1" bestFit="1" customWidth="1"/>
    <col min="7" max="7" width="8.7265625" style="1"/>
    <col min="8" max="8" width="13.08984375" style="1" bestFit="1" customWidth="1"/>
    <col min="9" max="9" width="11.36328125" style="1" bestFit="1" customWidth="1"/>
    <col min="10" max="10" width="9.6328125" style="1" bestFit="1" customWidth="1"/>
    <col min="11" max="11" width="12.7265625" style="1" bestFit="1" customWidth="1"/>
    <col min="12" max="12" width="12.08984375" style="1" bestFit="1" customWidth="1"/>
    <col min="13" max="13" width="13.7265625" style="1" bestFit="1" customWidth="1"/>
    <col min="14" max="14" width="8.7265625" style="1"/>
    <col min="15" max="18" width="15.7265625" style="1" bestFit="1" customWidth="1"/>
    <col min="19" max="19" width="14.6328125" style="1" bestFit="1" customWidth="1"/>
    <col min="20" max="16384" width="8.7265625" style="1"/>
  </cols>
  <sheetData>
    <row r="1" spans="1:20" ht="15" customHeight="1" x14ac:dyDescent="0.35">
      <c r="A1" s="5" t="s">
        <v>6</v>
      </c>
      <c r="B1" s="4" t="s">
        <v>0</v>
      </c>
      <c r="C1" s="5" t="s">
        <v>5</v>
      </c>
      <c r="D1" s="5" t="s">
        <v>1</v>
      </c>
      <c r="E1" s="5" t="s">
        <v>4</v>
      </c>
      <c r="F1" s="5" t="s">
        <v>2</v>
      </c>
      <c r="G1" s="5" t="s">
        <v>3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/>
    </row>
    <row r="2" spans="1:20" x14ac:dyDescent="0.35">
      <c r="A2" s="5">
        <v>2014</v>
      </c>
      <c r="B2" s="2">
        <v>1</v>
      </c>
      <c r="C2" s="3">
        <v>1000</v>
      </c>
      <c r="D2" s="3">
        <f>26/1125*1000</f>
        <v>23.111111111111111</v>
      </c>
      <c r="E2" s="3">
        <f>44/1125*1000</f>
        <v>39.111111111111107</v>
      </c>
      <c r="F2" s="3">
        <f>155/1125*1000</f>
        <v>137.77777777777777</v>
      </c>
      <c r="G2" s="3">
        <v>16</v>
      </c>
      <c r="H2" s="7">
        <v>650</v>
      </c>
      <c r="I2" s="7">
        <v>500</v>
      </c>
      <c r="J2" s="7">
        <v>8</v>
      </c>
      <c r="K2" s="7">
        <v>100</v>
      </c>
      <c r="L2" s="7">
        <v>300</v>
      </c>
      <c r="M2" s="7">
        <v>0.34</v>
      </c>
      <c r="N2" s="7">
        <v>4</v>
      </c>
      <c r="O2" s="7">
        <v>400</v>
      </c>
      <c r="P2" s="7">
        <v>0.6</v>
      </c>
      <c r="Q2" s="7">
        <v>0.7</v>
      </c>
      <c r="R2" s="7">
        <v>6</v>
      </c>
      <c r="S2" s="7">
        <v>40</v>
      </c>
      <c r="T2" s="6"/>
    </row>
    <row r="3" spans="1:20" x14ac:dyDescent="0.35">
      <c r="A3" s="5">
        <v>2014</v>
      </c>
      <c r="B3" s="2">
        <v>2</v>
      </c>
      <c r="C3" s="3">
        <v>1200</v>
      </c>
      <c r="D3" s="3">
        <f>26/1125*1200</f>
        <v>27.733333333333331</v>
      </c>
      <c r="E3" s="3">
        <f>44/1125*1200</f>
        <v>46.93333333333333</v>
      </c>
      <c r="F3" s="3">
        <f>155/1125*1200</f>
        <v>165.33333333333334</v>
      </c>
      <c r="G3" s="3">
        <v>16</v>
      </c>
      <c r="H3" s="7">
        <v>650</v>
      </c>
      <c r="I3" s="7">
        <v>500</v>
      </c>
      <c r="J3" s="7">
        <v>8</v>
      </c>
      <c r="K3" s="7">
        <v>100</v>
      </c>
      <c r="L3" s="7">
        <v>300</v>
      </c>
      <c r="M3" s="7">
        <v>0.34</v>
      </c>
      <c r="N3" s="7">
        <v>4</v>
      </c>
      <c r="O3" s="7">
        <v>400</v>
      </c>
      <c r="P3" s="7">
        <v>0.6</v>
      </c>
      <c r="Q3" s="7">
        <v>0.7</v>
      </c>
      <c r="R3" s="7">
        <v>6</v>
      </c>
      <c r="S3" s="7">
        <v>40</v>
      </c>
      <c r="T3" s="6"/>
    </row>
    <row r="4" spans="1:20" x14ac:dyDescent="0.35">
      <c r="A4" s="5">
        <v>2014</v>
      </c>
      <c r="B4" s="2">
        <v>3</v>
      </c>
      <c r="C4" s="3">
        <v>1400</v>
      </c>
      <c r="D4" s="3">
        <f>26/1125*1400</f>
        <v>32.355555555555554</v>
      </c>
      <c r="E4" s="3">
        <f>44/1125*1400</f>
        <v>54.755555555555553</v>
      </c>
      <c r="F4" s="3">
        <f>155/1125*1400</f>
        <v>192.88888888888889</v>
      </c>
      <c r="G4" s="3">
        <v>16</v>
      </c>
      <c r="H4" s="7">
        <v>650</v>
      </c>
      <c r="I4" s="7">
        <v>500</v>
      </c>
      <c r="J4" s="7">
        <v>8</v>
      </c>
      <c r="K4" s="7">
        <v>100</v>
      </c>
      <c r="L4" s="7">
        <v>300</v>
      </c>
      <c r="M4" s="7">
        <v>0.34</v>
      </c>
      <c r="N4" s="7">
        <v>4</v>
      </c>
      <c r="O4" s="7">
        <v>400</v>
      </c>
      <c r="P4" s="7">
        <v>0.6</v>
      </c>
      <c r="Q4" s="7">
        <v>0.7</v>
      </c>
      <c r="R4" s="7">
        <v>6</v>
      </c>
      <c r="S4" s="7">
        <v>40</v>
      </c>
      <c r="T4" s="6"/>
    </row>
    <row r="5" spans="1:20" x14ac:dyDescent="0.35">
      <c r="A5" s="5">
        <v>2014</v>
      </c>
      <c r="B5" s="2">
        <v>4</v>
      </c>
      <c r="C5" s="3">
        <v>1440</v>
      </c>
      <c r="D5" s="3">
        <f>35/1600*1440</f>
        <v>31.499999999999996</v>
      </c>
      <c r="E5" s="3">
        <f>62/1600*1440</f>
        <v>55.8</v>
      </c>
      <c r="F5" s="3">
        <f>220/1600*1440</f>
        <v>198.00000000000003</v>
      </c>
      <c r="G5" s="3">
        <v>22</v>
      </c>
      <c r="H5" s="7">
        <v>100</v>
      </c>
      <c r="I5" s="7">
        <v>500</v>
      </c>
      <c r="J5" s="7">
        <v>9</v>
      </c>
      <c r="K5" s="7">
        <v>120</v>
      </c>
      <c r="L5" s="7">
        <v>380</v>
      </c>
      <c r="M5" s="7">
        <v>0.44</v>
      </c>
      <c r="N5" s="7">
        <v>5</v>
      </c>
      <c r="O5" s="7">
        <v>450</v>
      </c>
      <c r="P5" s="7">
        <v>0.8</v>
      </c>
      <c r="Q5" s="7">
        <v>1</v>
      </c>
      <c r="R5" s="7">
        <v>9</v>
      </c>
      <c r="S5" s="7">
        <v>45</v>
      </c>
      <c r="T5" s="6"/>
    </row>
    <row r="6" spans="1:20" x14ac:dyDescent="0.35">
      <c r="A6" s="5">
        <v>2014</v>
      </c>
      <c r="B6" s="2">
        <v>5</v>
      </c>
      <c r="C6" s="3">
        <v>1620</v>
      </c>
      <c r="D6" s="3">
        <f>35/1600*1620</f>
        <v>35.4375</v>
      </c>
      <c r="E6" s="3">
        <f>62/1600*1620</f>
        <v>62.774999999999999</v>
      </c>
      <c r="F6" s="3">
        <f>220/1600*1620</f>
        <v>222.75000000000003</v>
      </c>
      <c r="G6" s="3">
        <v>22</v>
      </c>
      <c r="H6" s="7">
        <v>100</v>
      </c>
      <c r="I6" s="7">
        <v>500</v>
      </c>
      <c r="J6" s="7">
        <v>9</v>
      </c>
      <c r="K6" s="7">
        <v>120</v>
      </c>
      <c r="L6" s="7">
        <v>380</v>
      </c>
      <c r="M6" s="7">
        <v>0.44</v>
      </c>
      <c r="N6" s="7">
        <v>5</v>
      </c>
      <c r="O6" s="7">
        <v>450</v>
      </c>
      <c r="P6" s="7">
        <v>0.8</v>
      </c>
      <c r="Q6" s="7">
        <v>1</v>
      </c>
      <c r="R6" s="7">
        <v>9</v>
      </c>
      <c r="S6" s="7">
        <v>45</v>
      </c>
      <c r="T6" s="6"/>
    </row>
    <row r="7" spans="1:20" x14ac:dyDescent="0.35">
      <c r="A7" s="5">
        <v>2019</v>
      </c>
      <c r="B7" s="2">
        <v>1</v>
      </c>
      <c r="C7" s="3">
        <v>1350</v>
      </c>
      <c r="D7" s="3">
        <v>20</v>
      </c>
      <c r="E7" s="3">
        <v>45</v>
      </c>
      <c r="F7" s="3">
        <v>215</v>
      </c>
      <c r="G7" s="3">
        <v>19</v>
      </c>
      <c r="H7" s="7">
        <v>650</v>
      </c>
      <c r="I7" s="7">
        <v>460</v>
      </c>
      <c r="J7" s="7">
        <v>7</v>
      </c>
      <c r="K7" s="7">
        <v>800</v>
      </c>
      <c r="L7" s="7">
        <v>2600</v>
      </c>
      <c r="M7" s="7">
        <v>0.34</v>
      </c>
      <c r="N7" s="7">
        <v>3</v>
      </c>
      <c r="O7" s="7">
        <v>400</v>
      </c>
      <c r="P7" s="7">
        <v>0.5</v>
      </c>
      <c r="Q7" s="7">
        <v>0.5</v>
      </c>
      <c r="R7" s="7">
        <v>6</v>
      </c>
      <c r="S7" s="7">
        <v>40</v>
      </c>
    </row>
    <row r="8" spans="1:20" x14ac:dyDescent="0.35">
      <c r="A8" s="5">
        <v>2019</v>
      </c>
      <c r="B8" s="2">
        <v>2</v>
      </c>
      <c r="C8" s="3">
        <v>1350</v>
      </c>
      <c r="D8" s="3">
        <v>20</v>
      </c>
      <c r="E8" s="3">
        <v>45</v>
      </c>
      <c r="F8" s="3">
        <v>215</v>
      </c>
      <c r="G8" s="3">
        <v>19</v>
      </c>
      <c r="H8" s="7">
        <v>650</v>
      </c>
      <c r="I8" s="7">
        <v>460</v>
      </c>
      <c r="J8" s="7">
        <v>7</v>
      </c>
      <c r="K8" s="7">
        <v>800</v>
      </c>
      <c r="L8" s="7">
        <v>2600</v>
      </c>
      <c r="M8" s="7">
        <v>0.34</v>
      </c>
      <c r="N8" s="7">
        <v>3</v>
      </c>
      <c r="O8" s="7">
        <v>400</v>
      </c>
      <c r="P8" s="7">
        <v>0.5</v>
      </c>
      <c r="Q8" s="7">
        <v>0.5</v>
      </c>
      <c r="R8" s="7">
        <v>6</v>
      </c>
      <c r="S8" s="7">
        <v>40</v>
      </c>
    </row>
    <row r="9" spans="1:20" x14ac:dyDescent="0.35">
      <c r="A9" s="5">
        <v>2019</v>
      </c>
      <c r="B9" s="2">
        <v>3</v>
      </c>
      <c r="C9" s="3">
        <v>1350</v>
      </c>
      <c r="D9" s="3">
        <v>20</v>
      </c>
      <c r="E9" s="3">
        <v>45</v>
      </c>
      <c r="F9" s="3">
        <v>215</v>
      </c>
      <c r="G9" s="3">
        <v>19</v>
      </c>
      <c r="H9" s="7">
        <v>650</v>
      </c>
      <c r="I9" s="7">
        <v>460</v>
      </c>
      <c r="J9" s="7">
        <v>7</v>
      </c>
      <c r="K9" s="7">
        <v>800</v>
      </c>
      <c r="L9" s="7">
        <v>2600</v>
      </c>
      <c r="M9" s="7">
        <v>0.34</v>
      </c>
      <c r="N9" s="7">
        <v>3</v>
      </c>
      <c r="O9" s="7">
        <v>400</v>
      </c>
      <c r="P9" s="7">
        <v>0.5</v>
      </c>
      <c r="Q9" s="7">
        <v>0.5</v>
      </c>
      <c r="R9" s="7">
        <v>6</v>
      </c>
      <c r="S9" s="7">
        <v>40</v>
      </c>
    </row>
    <row r="10" spans="1:20" x14ac:dyDescent="0.35">
      <c r="A10" s="5">
        <v>2019</v>
      </c>
      <c r="B10" s="2">
        <v>4</v>
      </c>
      <c r="C10" s="3">
        <v>1400</v>
      </c>
      <c r="D10" s="3">
        <v>25</v>
      </c>
      <c r="E10" s="3">
        <v>50</v>
      </c>
      <c r="F10" s="3">
        <v>220</v>
      </c>
      <c r="G10" s="3">
        <v>20</v>
      </c>
      <c r="H10" s="7">
        <v>1000</v>
      </c>
      <c r="I10" s="7">
        <v>500</v>
      </c>
      <c r="J10" s="7">
        <v>10</v>
      </c>
      <c r="K10" s="7">
        <v>900</v>
      </c>
      <c r="L10" s="7">
        <v>2700</v>
      </c>
      <c r="M10" s="7">
        <v>0.34</v>
      </c>
      <c r="N10" s="7">
        <v>5</v>
      </c>
      <c r="O10" s="7">
        <v>450</v>
      </c>
      <c r="P10" s="7">
        <v>0.6</v>
      </c>
      <c r="Q10" s="7">
        <v>0.6</v>
      </c>
      <c r="R10" s="7">
        <v>8</v>
      </c>
      <c r="S10" s="7">
        <v>45</v>
      </c>
    </row>
    <row r="11" spans="1:20" x14ac:dyDescent="0.35">
      <c r="A11" s="5">
        <v>2019</v>
      </c>
      <c r="B11" s="2">
        <v>5</v>
      </c>
      <c r="C11" s="3">
        <v>1400</v>
      </c>
      <c r="D11" s="3">
        <v>25</v>
      </c>
      <c r="E11" s="3">
        <v>50</v>
      </c>
      <c r="F11" s="3">
        <v>220</v>
      </c>
      <c r="G11" s="3">
        <v>20</v>
      </c>
      <c r="H11" s="7">
        <v>1000</v>
      </c>
      <c r="I11" s="7">
        <v>500</v>
      </c>
      <c r="J11" s="7">
        <v>10</v>
      </c>
      <c r="K11" s="7">
        <v>900</v>
      </c>
      <c r="L11" s="7">
        <v>2700</v>
      </c>
      <c r="M11" s="7">
        <v>0.34</v>
      </c>
      <c r="N11" s="7">
        <v>5</v>
      </c>
      <c r="O11" s="7">
        <v>450</v>
      </c>
      <c r="P11" s="7">
        <v>0.6</v>
      </c>
      <c r="Q11" s="7">
        <v>0.6</v>
      </c>
      <c r="R11" s="7">
        <v>8</v>
      </c>
      <c r="S11" s="7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94DE6D408CE40A2987D136A785C44" ma:contentTypeVersion="15" ma:contentTypeDescription="Create a new document." ma:contentTypeScope="" ma:versionID="93e4f9afe4fdc521f23239b93dc5c7af">
  <xsd:schema xmlns:xsd="http://www.w3.org/2001/XMLSchema" xmlns:xs="http://www.w3.org/2001/XMLSchema" xmlns:p="http://schemas.microsoft.com/office/2006/metadata/properties" xmlns:ns3="0585a93a-9d53-47d5-ac19-a8c81c81a2e7" xmlns:ns4="cf2c83f9-748f-4e76-99b8-14e92b71f8bc" targetNamespace="http://schemas.microsoft.com/office/2006/metadata/properties" ma:root="true" ma:fieldsID="c548658a4a4a215130b437990d3e08b8" ns3:_="" ns4:_="">
    <xsd:import namespace="0585a93a-9d53-47d5-ac19-a8c81c81a2e7"/>
    <xsd:import namespace="cf2c83f9-748f-4e76-99b8-14e92b71f8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5a93a-9d53-47d5-ac19-a8c81c81a2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c83f9-748f-4e76-99b8-14e92b71f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2c83f9-748f-4e76-99b8-14e92b71f8bc" xsi:nil="true"/>
  </documentManagement>
</p:properties>
</file>

<file path=customXml/itemProps1.xml><?xml version="1.0" encoding="utf-8"?>
<ds:datastoreItem xmlns:ds="http://schemas.openxmlformats.org/officeDocument/2006/customXml" ds:itemID="{E7C66A30-8F79-4647-A0EC-A948A21FB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5a93a-9d53-47d5-ac19-a8c81c81a2e7"/>
    <ds:schemaRef ds:uri="cf2c83f9-748f-4e76-99b8-14e92b71f8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89F07-9993-44AD-B05F-5A93CA8A21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478E09-2BCE-46C9-8A81-F3833488B51E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0585a93a-9d53-47d5-ac19-a8c81c81a2e7"/>
    <ds:schemaRef ds:uri="http://schemas.microsoft.com/office/2006/metadata/properties"/>
    <ds:schemaRef ds:uri="http://schemas.microsoft.com/office/infopath/2007/PartnerControls"/>
    <ds:schemaRef ds:uri="cf2c83f9-748f-4e76-99b8-14e92b71f8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Pendahuluan</vt:lpstr>
      <vt:lpstr>Data AKG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Nuhaisy Wulandari</dc:creator>
  <cp:keywords/>
  <dc:description/>
  <cp:lastModifiedBy>Tanya Nuhaisy Wulandari</cp:lastModifiedBy>
  <cp:revision/>
  <dcterms:created xsi:type="dcterms:W3CDTF">2025-06-23T06:19:59Z</dcterms:created>
  <dcterms:modified xsi:type="dcterms:W3CDTF">2026-01-10T17:15:51Z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2025-06-23T06:26:56Z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3233abbb-ff89-4ae5-81b8-558a33e57bbd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  <property fmtid="{D5CDD505-2E9C-101B-9397-08002B2CF9AE}" pid="10" name="ContentTypeId">
    <vt:lpwstr>0x0101003AC94DE6D408CE40A2987D136A785C44</vt:lpwstr>
  </property>
</Properties>
</file>